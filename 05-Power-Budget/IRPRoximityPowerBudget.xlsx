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22d8f31da2f71/Documents/College Docs/5. Fall 2026/RAS 304/jmzimme7_RAS304_F26/docs/05-Power-Budget/"/>
    </mc:Choice>
  </mc:AlternateContent>
  <xr:revisionPtr revIDLastSave="91" documentId="13_ncr:1_{41B44EA2-E6DF-4C15-81B1-5FA3EAE14440}" xr6:coauthVersionLast="47" xr6:coauthVersionMax="47" xr10:uidLastSave="{921E8BBA-688F-49CB-BFB5-5C866CB6F835}"/>
  <bookViews>
    <workbookView xWindow="-110" yWindow="-110" windowWidth="25820" windowHeight="15500" xr2:uid="{00000000-000D-0000-FFFF-FFFF00000000}"/>
  </bookViews>
  <sheets>
    <sheet name="Power Budget" sheetId="1" r:id="rId1"/>
  </sheets>
  <definedNames>
    <definedName name="_xlnm.Print_Area" localSheetId="0">'Power Budget'!$A$1:$H$71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2" i="1"/>
  <c r="G21" i="1"/>
  <c r="G20" i="1"/>
  <c r="G19" i="1"/>
  <c r="G18" i="1"/>
  <c r="G28" i="1"/>
  <c r="G35" i="1"/>
  <c r="G13" i="1"/>
  <c r="G12" i="1"/>
  <c r="G11" i="1"/>
  <c r="G10" i="1"/>
  <c r="G9" i="1"/>
  <c r="G38" i="1" l="1"/>
  <c r="G26" i="1"/>
  <c r="G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<sst xmlns="http://schemas.openxmlformats.org/spreadsheetml/2006/main" count="105" uniqueCount="54">
  <si>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</si>
  <si>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</si>
  <si>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</si>
  <si>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</si>
  <si>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</si>
  <si>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</si>
  <si>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</si>
  <si>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</si>
  <si>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</si>
  <si>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</si>
  <si>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</si>
  <si>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</si>
  <si>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(full part number)</t>
  </si>
  <si>
    <t xml:space="preserve"> +12 - 24V</t>
  </si>
  <si>
    <t>mA</t>
  </si>
  <si>
    <t>(range)</t>
  </si>
  <si>
    <t>Opamp</t>
  </si>
  <si>
    <t xml:space="preserve"> +5 to -5</t>
  </si>
  <si>
    <t>5V regulator</t>
  </si>
  <si>
    <t xml:space="preserve"> +5V - 35V</t>
  </si>
  <si>
    <t>Wifi transceiver</t>
  </si>
  <si>
    <t xml:space="preserve"> +1.8 - 3.3V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</si>
  <si>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</si>
  <si>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</si>
  <si>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</si>
  <si>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</si>
  <si>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</si>
  <si>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</si>
  <si>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</si>
  <si>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</si>
  <si>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</si>
  <si>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</si>
  <si>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</si>
  <si>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110VAC</t>
  </si>
  <si>
    <t xml:space="preserve"> +24V</t>
  </si>
  <si>
    <t>Power Rails Connected to External Power Source 1</t>
  </si>
  <si>
    <t>Total Remaining Current Available on External Power Source 1</t>
  </si>
  <si>
    <t>Supply Voltage Range</t>
  </si>
  <si>
    <t>Qty.</t>
  </si>
  <si>
    <t>Regulator</t>
  </si>
  <si>
    <t>Total Current
(mA)</t>
  </si>
  <si>
    <t>Absolute Maximum Current (mA)</t>
  </si>
  <si>
    <t>EGR 304 Haptic Gripper</t>
  </si>
  <si>
    <t>Joseph, Sakiya, Jared, Emmanuel, Aakash</t>
  </si>
  <si>
    <t>Curiosity Nano</t>
  </si>
  <si>
    <t>PIC18F57Q43</t>
  </si>
  <si>
    <t xml:space="preserve"> +1.8-5.5V</t>
  </si>
  <si>
    <t>Ir Emitter</t>
  </si>
  <si>
    <t>TSAL6400</t>
  </si>
  <si>
    <t>MCP6004</t>
  </si>
  <si>
    <t>IR Receiver</t>
  </si>
  <si>
    <t>TSSP4056</t>
  </si>
  <si>
    <t xml:space="preserve"> +2.5 - 5.5V</t>
  </si>
  <si>
    <t>IR Proximity Power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</si>
</sst>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3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12" xfId="0" applyFont="1" applyBorder="1"/>
    <xf numFmtId="0" fontId="2" fillId="0" borderId="14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9" fontId="2" fillId="0" borderId="16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5" fillId="3" borderId="17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right"/>
    </xf>
    <xf numFmtId="9" fontId="2" fillId="0" borderId="3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left"/>
    </xf>
    <xf numFmtId="49" fontId="5" fillId="0" borderId="3" xfId="0" applyNumberFormat="1" applyFont="1" applyBorder="1" applyAlignment="1">
      <alignment horizontal="right"/>
    </xf>
    <xf numFmtId="0" fontId="4" fillId="0" borderId="3" xfId="0" applyFont="1" applyBorder="1"/>
    <xf numFmtId="0" fontId="5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left" wrapText="1"/>
    </xf>
    <xf numFmtId="0" fontId="2" fillId="0" borderId="2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3" fillId="3" borderId="30" xfId="0" applyFont="1" applyFill="1" applyBorder="1" applyAlignment="1">
      <alignment horizontal="center" vertical="center"/>
    </xf>
    <xf numFmtId="0" fontId="2" fillId="0" borderId="26" xfId="0" applyFont="1" applyBorder="1"/>
    <xf numFmtId="0" fontId="3" fillId="0" borderId="26" xfId="0" applyFont="1" applyBorder="1"/>
    <xf numFmtId="0" fontId="5" fillId="0" borderId="26" xfId="0" applyFont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5" fillId="0" borderId="26" xfId="0" applyFont="1" applyBorder="1"/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4" xfId="0" applyFont="1" applyBorder="1"/>
    <xf numFmtId="0" fontId="4" fillId="0" borderId="6" xfId="0" applyFont="1" applyBorder="1"/>
    <xf numFmtId="0" fontId="3" fillId="0" borderId="12" xfId="0" applyFont="1" applyBorder="1" applyAlignment="1">
      <alignment horizontal="left" vertical="center" wrapText="1"/>
    </xf>
    <xf numFmtId="0" fontId="4" fillId="0" borderId="12" xfId="0" applyFont="1" applyBorder="1"/>
    <xf numFmtId="0" fontId="4" fillId="0" borderId="22" xfId="0" applyFont="1" applyBorder="1"/>
    <xf numFmtId="49" fontId="5" fillId="0" borderId="27" xfId="0" applyNumberFormat="1" applyFont="1" applyBorder="1" applyAlignment="1">
      <alignment horizontal="right"/>
    </xf>
    <xf numFmtId="49" fontId="5" fillId="0" borderId="28" xfId="0" applyNumberFormat="1" applyFont="1" applyBorder="1" applyAlignment="1">
      <alignment horizontal="right"/>
    </xf>
    <xf numFmtId="49" fontId="5" fillId="0" borderId="24" xfId="0" applyNumberFormat="1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16" xfId="0" applyFont="1" applyBorder="1" applyAlignment="1">
      <alignment horizontal="right"/>
    </xf>
    <xf numFmtId="49" fontId="5" fillId="0" borderId="7" xfId="0" applyNumberFormat="1" applyFont="1" applyBorder="1" applyAlignment="1">
      <alignment horizontal="right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1"/>
  <sheetViews>
    <sheetView tabSelected="1" topLeftCell="A17" workbookViewId="0">
      <selection activeCell="J33" sqref="J33"/>
    </sheetView>
  </sheetViews>
  <sheetFormatPr defaultColWidth="13.5" defaultRowHeight="15.75" customHeight="1" x14ac:dyDescent="0.35"/>
  <cols>
    <col min="1" max="1" width="22.5" style="1" customWidth="1"/>
    <col min="2" max="2" width="20.08203125" style="1" customWidth="1"/>
    <col min="3" max="3" width="15.75" style="1" customWidth="1"/>
    <col min="4" max="4" width="11.5" style="1" customWidth="1"/>
    <col min="5" max="5" width="7.25" style="1" customWidth="1"/>
    <col min="6" max="6" width="12.33203125" style="4" customWidth="1"/>
    <col min="7" max="7" width="11.33203125" style="4" customWidth="1"/>
    <col min="8" max="8" width="9" style="4" customWidth="1"/>
    <col min="9" max="16384" width="13.5" style="1"/>
  </cols>
  <sheetData>
    <row r="1" spans="1:8" ht="30" customHeight="1" x14ac:dyDescent="0.7">
      <c r="A1" s="76" t="s">
        <v>53</v>
      </c>
      <c r="B1" s="77"/>
      <c r="C1" s="77"/>
      <c r="D1" s="77"/>
      <c r="E1" s="77"/>
      <c r="F1" s="77"/>
      <c r="G1" s="77"/>
      <c r="H1" s="77"/>
    </row>
    <row r="2" spans="1:8" ht="15" customHeight="1" x14ac:dyDescent="0.35">
      <c r="A2" s="6" t="s">
        <v>0</v>
      </c>
      <c r="B2" s="47">
        <v>104</v>
      </c>
      <c r="D2" s="2"/>
      <c r="E2" s="2"/>
    </row>
    <row r="3" spans="1:8" ht="15" customHeight="1" x14ac:dyDescent="0.35">
      <c r="A3" s="6" t="s">
        <v>1</v>
      </c>
      <c r="B3" s="7" t="s">
        <v>42</v>
      </c>
      <c r="C3" s="3"/>
      <c r="D3" s="2"/>
      <c r="E3" s="2"/>
      <c r="F3" s="2"/>
      <c r="G3" s="2"/>
      <c r="H3" s="2"/>
    </row>
    <row r="4" spans="1:8" ht="15" customHeight="1" x14ac:dyDescent="0.35">
      <c r="A4" s="6" t="s">
        <v>2</v>
      </c>
      <c r="B4" s="7" t="s">
        <v>43</v>
      </c>
      <c r="C4" s="3"/>
      <c r="D4" s="2"/>
      <c r="E4" s="2"/>
      <c r="F4" s="2"/>
      <c r="G4" s="2"/>
      <c r="H4" s="2"/>
    </row>
    <row r="5" spans="1:8" ht="15" customHeight="1" x14ac:dyDescent="0.35">
      <c r="A5" s="6" t="s">
        <v>3</v>
      </c>
      <c r="B5" s="48">
        <v>1</v>
      </c>
      <c r="C5" s="3"/>
      <c r="D5" s="2"/>
      <c r="E5" s="2"/>
      <c r="F5" s="2"/>
      <c r="G5" s="2"/>
      <c r="H5" s="2"/>
    </row>
    <row r="6" spans="1:8" ht="15" customHeight="1" x14ac:dyDescent="0.3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35">
      <c r="A7" s="78" t="s">
        <v>4</v>
      </c>
      <c r="B7" s="79"/>
      <c r="C7" s="79"/>
      <c r="D7" s="79"/>
      <c r="E7" s="79"/>
      <c r="F7" s="79"/>
      <c r="G7" s="79"/>
      <c r="H7" s="80"/>
    </row>
    <row r="8" spans="1:8" ht="47" thickBot="1" x14ac:dyDescent="0.4">
      <c r="A8" s="68" t="s">
        <v>5</v>
      </c>
      <c r="B8" s="12" t="s">
        <v>6</v>
      </c>
      <c r="C8" s="12" t="s">
        <v>7</v>
      </c>
      <c r="D8" s="13" t="s">
        <v>37</v>
      </c>
      <c r="E8" s="12" t="s">
        <v>38</v>
      </c>
      <c r="F8" s="13" t="s">
        <v>41</v>
      </c>
      <c r="G8" s="13" t="s">
        <v>40</v>
      </c>
      <c r="H8" s="12" t="s">
        <v>11</v>
      </c>
    </row>
    <row r="9" spans="1:8" ht="15" customHeight="1" x14ac:dyDescent="0.35">
      <c r="A9" s="69"/>
      <c r="B9" s="16" t="s">
        <v>44</v>
      </c>
      <c r="C9" s="17" t="s">
        <v>45</v>
      </c>
      <c r="D9" s="18" t="s">
        <v>46</v>
      </c>
      <c r="E9" s="18">
        <v>1</v>
      </c>
      <c r="F9" s="18">
        <v>350</v>
      </c>
      <c r="G9" s="18">
        <f t="shared" ref="G9:G13" si="0">E9*F9</f>
        <v>350</v>
      </c>
      <c r="H9" s="23" t="s">
        <v>14</v>
      </c>
    </row>
    <row r="10" spans="1:8" ht="15" customHeight="1" x14ac:dyDescent="0.35">
      <c r="A10" s="69"/>
      <c r="B10" s="19" t="s">
        <v>47</v>
      </c>
      <c r="C10" s="8" t="s">
        <v>48</v>
      </c>
      <c r="D10" s="9" t="s">
        <v>13</v>
      </c>
      <c r="E10" s="9">
        <v>1</v>
      </c>
      <c r="F10" s="9">
        <v>200</v>
      </c>
      <c r="G10" s="9">
        <f t="shared" si="0"/>
        <v>200</v>
      </c>
      <c r="H10" s="24" t="s">
        <v>14</v>
      </c>
    </row>
    <row r="11" spans="1:8" ht="15" customHeight="1" x14ac:dyDescent="0.35">
      <c r="A11" s="69"/>
      <c r="B11" s="19" t="s">
        <v>50</v>
      </c>
      <c r="C11" s="8" t="s">
        <v>51</v>
      </c>
      <c r="D11" s="9" t="s">
        <v>52</v>
      </c>
      <c r="E11" s="9">
        <v>1</v>
      </c>
      <c r="F11" s="9">
        <v>5</v>
      </c>
      <c r="G11" s="9">
        <f t="shared" si="0"/>
        <v>5</v>
      </c>
      <c r="H11" s="24" t="s">
        <v>14</v>
      </c>
    </row>
    <row r="12" spans="1:8" ht="15" customHeight="1" x14ac:dyDescent="0.35">
      <c r="A12" s="69"/>
      <c r="B12" s="19" t="s">
        <v>16</v>
      </c>
      <c r="C12" s="8" t="s">
        <v>49</v>
      </c>
      <c r="D12" s="10" t="s">
        <v>17</v>
      </c>
      <c r="E12" s="9">
        <v>1</v>
      </c>
      <c r="F12" s="9">
        <v>100</v>
      </c>
      <c r="G12" s="9">
        <f t="shared" si="0"/>
        <v>100</v>
      </c>
      <c r="H12" s="24" t="s">
        <v>14</v>
      </c>
    </row>
    <row r="13" spans="1:8" ht="15" customHeight="1" x14ac:dyDescent="0.35">
      <c r="A13" s="69"/>
      <c r="B13" s="19" t="s">
        <v>18</v>
      </c>
      <c r="C13" s="8" t="s">
        <v>27</v>
      </c>
      <c r="D13" s="9" t="s">
        <v>19</v>
      </c>
      <c r="E13" s="9">
        <v>1</v>
      </c>
      <c r="F13" s="9">
        <v>8</v>
      </c>
      <c r="G13" s="9">
        <f t="shared" si="0"/>
        <v>8</v>
      </c>
      <c r="H13" s="24" t="s">
        <v>14</v>
      </c>
    </row>
    <row r="14" spans="1:8" ht="15" customHeight="1" thickBot="1" x14ac:dyDescent="0.4">
      <c r="A14" s="69"/>
      <c r="B14" s="20" t="s">
        <v>20</v>
      </c>
      <c r="C14" s="21" t="s">
        <v>12</v>
      </c>
      <c r="D14" s="22" t="s">
        <v>21</v>
      </c>
      <c r="E14" s="22">
        <v>1</v>
      </c>
      <c r="F14" s="22">
        <v>350</v>
      </c>
      <c r="G14" s="22">
        <v>350</v>
      </c>
      <c r="H14" s="25" t="s">
        <v>14</v>
      </c>
    </row>
    <row r="15" spans="1:8" ht="15" customHeight="1" x14ac:dyDescent="0.35">
      <c r="A15" s="70"/>
      <c r="B15" s="7"/>
      <c r="C15" s="7"/>
      <c r="D15" s="15"/>
      <c r="E15" s="15"/>
      <c r="F15" s="15"/>
      <c r="G15" s="15"/>
      <c r="H15" s="15"/>
    </row>
    <row r="16" spans="1:8" ht="15.5" x14ac:dyDescent="0.35">
      <c r="A16" s="71"/>
      <c r="B16" s="50"/>
      <c r="C16" s="50"/>
      <c r="D16" s="51"/>
      <c r="E16" s="50"/>
      <c r="F16" s="51"/>
      <c r="G16" s="51"/>
      <c r="H16" s="50"/>
    </row>
    <row r="17" spans="1:8" ht="15" customHeight="1" thickBot="1" x14ac:dyDescent="0.4">
      <c r="A17" s="72" t="s">
        <v>24</v>
      </c>
      <c r="B17" s="12" t="s">
        <v>6</v>
      </c>
      <c r="C17" s="12" t="s">
        <v>7</v>
      </c>
      <c r="D17" s="13" t="s">
        <v>8</v>
      </c>
      <c r="E17" s="12" t="s">
        <v>38</v>
      </c>
      <c r="F17" s="13" t="s">
        <v>9</v>
      </c>
      <c r="G17" s="13" t="s">
        <v>10</v>
      </c>
      <c r="H17" s="12" t="s">
        <v>11</v>
      </c>
    </row>
    <row r="18" spans="1:8" ht="15" customHeight="1" x14ac:dyDescent="0.35">
      <c r="A18" s="69"/>
      <c r="B18" s="16" t="s">
        <v>44</v>
      </c>
      <c r="C18" s="17" t="s">
        <v>45</v>
      </c>
      <c r="D18" s="18" t="s">
        <v>46</v>
      </c>
      <c r="E18" s="18">
        <v>1</v>
      </c>
      <c r="F18" s="18">
        <v>350</v>
      </c>
      <c r="G18" s="18">
        <f t="shared" ref="G18:G22" si="1">E18*F18</f>
        <v>350</v>
      </c>
      <c r="H18" s="23" t="s">
        <v>14</v>
      </c>
    </row>
    <row r="19" spans="1:8" ht="15" customHeight="1" x14ac:dyDescent="0.35">
      <c r="A19" s="69"/>
      <c r="B19" s="19" t="s">
        <v>47</v>
      </c>
      <c r="C19" s="8" t="s">
        <v>48</v>
      </c>
      <c r="D19" s="9" t="s">
        <v>13</v>
      </c>
      <c r="E19" s="9">
        <v>1</v>
      </c>
      <c r="F19" s="9">
        <v>200</v>
      </c>
      <c r="G19" s="9">
        <f t="shared" si="1"/>
        <v>200</v>
      </c>
      <c r="H19" s="24" t="s">
        <v>14</v>
      </c>
    </row>
    <row r="20" spans="1:8" ht="15" customHeight="1" x14ac:dyDescent="0.35">
      <c r="A20" s="69"/>
      <c r="B20" s="19" t="s">
        <v>50</v>
      </c>
      <c r="C20" s="8" t="s">
        <v>51</v>
      </c>
      <c r="D20" s="9" t="s">
        <v>52</v>
      </c>
      <c r="E20" s="9">
        <v>1</v>
      </c>
      <c r="F20" s="9">
        <v>5</v>
      </c>
      <c r="G20" s="9">
        <f t="shared" si="1"/>
        <v>5</v>
      </c>
      <c r="H20" s="24" t="s">
        <v>14</v>
      </c>
    </row>
    <row r="21" spans="1:8" ht="15" customHeight="1" x14ac:dyDescent="0.35">
      <c r="A21" s="69"/>
      <c r="B21" s="19" t="s">
        <v>16</v>
      </c>
      <c r="C21" s="8" t="s">
        <v>49</v>
      </c>
      <c r="D21" s="10" t="s">
        <v>17</v>
      </c>
      <c r="E21" s="9">
        <v>1</v>
      </c>
      <c r="F21" s="9">
        <v>100</v>
      </c>
      <c r="G21" s="9">
        <f t="shared" si="1"/>
        <v>100</v>
      </c>
      <c r="H21" s="24" t="s">
        <v>14</v>
      </c>
    </row>
    <row r="22" spans="1:8" ht="15" customHeight="1" x14ac:dyDescent="0.35">
      <c r="A22" s="69"/>
      <c r="B22" s="19" t="s">
        <v>18</v>
      </c>
      <c r="C22" s="8" t="s">
        <v>27</v>
      </c>
      <c r="D22" s="9" t="s">
        <v>19</v>
      </c>
      <c r="E22" s="9">
        <v>1</v>
      </c>
      <c r="F22" s="9">
        <v>8</v>
      </c>
      <c r="G22" s="9">
        <f t="shared" si="1"/>
        <v>8</v>
      </c>
      <c r="H22" s="24" t="s">
        <v>14</v>
      </c>
    </row>
    <row r="23" spans="1:8" ht="15" customHeight="1" thickBot="1" x14ac:dyDescent="0.4">
      <c r="A23" s="69"/>
      <c r="B23" s="20" t="s">
        <v>20</v>
      </c>
      <c r="C23" s="21" t="s">
        <v>12</v>
      </c>
      <c r="D23" s="22" t="s">
        <v>21</v>
      </c>
      <c r="E23" s="22">
        <v>1</v>
      </c>
      <c r="F23" s="22">
        <v>350</v>
      </c>
      <c r="G23" s="22">
        <v>350</v>
      </c>
      <c r="H23" s="25" t="s">
        <v>14</v>
      </c>
    </row>
    <row r="24" spans="1:8" ht="15" customHeight="1" x14ac:dyDescent="0.35">
      <c r="A24" s="69"/>
      <c r="B24" s="14"/>
      <c r="C24" s="14"/>
      <c r="D24" s="87" t="s">
        <v>22</v>
      </c>
      <c r="E24" s="87"/>
      <c r="F24" s="87"/>
      <c r="G24" s="11">
        <f>SUM(G18:G23)</f>
        <v>1013</v>
      </c>
      <c r="H24" s="11" t="s">
        <v>14</v>
      </c>
    </row>
    <row r="25" spans="1:8" ht="15" customHeight="1" thickBot="1" x14ac:dyDescent="0.4">
      <c r="A25" s="69"/>
      <c r="B25" s="14"/>
      <c r="C25" s="14"/>
      <c r="D25" s="88" t="s">
        <v>23</v>
      </c>
      <c r="E25" s="88"/>
      <c r="F25" s="88"/>
      <c r="G25" s="27">
        <v>0.25</v>
      </c>
      <c r="H25" s="27"/>
    </row>
    <row r="26" spans="1:8" ht="15" customHeight="1" thickTop="1" x14ac:dyDescent="0.35">
      <c r="A26" s="73"/>
      <c r="B26" s="14"/>
      <c r="C26" s="14"/>
      <c r="D26" s="87" t="s">
        <v>25</v>
      </c>
      <c r="E26" s="87"/>
      <c r="F26" s="87"/>
      <c r="G26" s="11">
        <f>G24*(1+G25)</f>
        <v>1266.25</v>
      </c>
      <c r="H26" s="11" t="s">
        <v>14</v>
      </c>
    </row>
    <row r="27" spans="1:8" ht="15.5" x14ac:dyDescent="0.35">
      <c r="A27" s="74"/>
      <c r="B27" s="28"/>
      <c r="C27" s="28"/>
      <c r="D27" s="29"/>
      <c r="E27" s="29"/>
      <c r="F27" s="29"/>
      <c r="G27" s="5"/>
      <c r="H27" s="5"/>
    </row>
    <row r="28" spans="1:8" ht="15" customHeight="1" thickBot="1" x14ac:dyDescent="0.4">
      <c r="A28" s="75" t="s">
        <v>39</v>
      </c>
      <c r="B28" s="31" t="s">
        <v>26</v>
      </c>
      <c r="C28" s="31" t="s">
        <v>27</v>
      </c>
      <c r="D28" s="26" t="s">
        <v>15</v>
      </c>
      <c r="E28" s="26">
        <v>1</v>
      </c>
      <c r="F28" s="26">
        <v>1500</v>
      </c>
      <c r="G28" s="26">
        <f>E28*F28</f>
        <v>1500</v>
      </c>
      <c r="H28" s="26" t="s">
        <v>14</v>
      </c>
    </row>
    <row r="29" spans="1:8" ht="15" customHeight="1" thickTop="1" x14ac:dyDescent="0.35">
      <c r="A29" s="74"/>
      <c r="B29" s="89" t="s">
        <v>28</v>
      </c>
      <c r="C29" s="89"/>
      <c r="D29" s="89"/>
      <c r="E29" s="89"/>
      <c r="F29" s="89"/>
      <c r="G29" s="11">
        <f>G28-G26</f>
        <v>233.75</v>
      </c>
      <c r="H29" s="11" t="s">
        <v>14</v>
      </c>
    </row>
    <row r="30" spans="1:8" ht="15" customHeight="1" x14ac:dyDescent="0.35">
      <c r="A30" s="69"/>
      <c r="B30" s="14"/>
      <c r="C30" s="14"/>
      <c r="D30" s="14"/>
      <c r="E30" s="14"/>
      <c r="F30" s="29"/>
    </row>
    <row r="31" spans="1:8" ht="15" customHeight="1" thickBot="1" x14ac:dyDescent="0.4">
      <c r="A31" s="69"/>
      <c r="B31" s="14"/>
      <c r="C31" s="14"/>
      <c r="D31" s="14"/>
      <c r="E31" s="14"/>
      <c r="F31" s="29"/>
    </row>
    <row r="32" spans="1:8" ht="15" customHeight="1" thickBot="1" x14ac:dyDescent="0.4">
      <c r="A32" s="33" t="s">
        <v>29</v>
      </c>
      <c r="B32" s="34" t="s">
        <v>6</v>
      </c>
      <c r="C32" s="34" t="s">
        <v>7</v>
      </c>
      <c r="D32" s="35" t="s">
        <v>8</v>
      </c>
      <c r="E32" s="35" t="s">
        <v>30</v>
      </c>
      <c r="F32" s="35" t="s">
        <v>9</v>
      </c>
      <c r="G32" s="35" t="s">
        <v>10</v>
      </c>
      <c r="H32" s="36" t="s">
        <v>11</v>
      </c>
    </row>
    <row r="33" spans="1:8" ht="15" customHeight="1" x14ac:dyDescent="0.35">
      <c r="A33" s="37" t="s">
        <v>31</v>
      </c>
      <c r="B33" s="32" t="s">
        <v>32</v>
      </c>
      <c r="C33" s="11" t="s">
        <v>12</v>
      </c>
      <c r="D33" s="11" t="s">
        <v>33</v>
      </c>
      <c r="E33" s="11" t="s">
        <v>34</v>
      </c>
      <c r="F33" s="11">
        <v>5000</v>
      </c>
      <c r="G33" s="11">
        <v>5000</v>
      </c>
      <c r="H33" s="38" t="s">
        <v>14</v>
      </c>
    </row>
    <row r="34" spans="1:8" ht="15" customHeight="1" x14ac:dyDescent="0.35">
      <c r="A34" s="39"/>
      <c r="B34" s="30"/>
      <c r="C34" s="30"/>
      <c r="D34" s="9"/>
      <c r="E34" s="9"/>
      <c r="F34" s="9"/>
      <c r="G34" s="9"/>
      <c r="H34" s="24"/>
    </row>
    <row r="35" spans="1:8" ht="15" customHeight="1" x14ac:dyDescent="0.35">
      <c r="A35" s="81" t="s">
        <v>35</v>
      </c>
      <c r="B35" s="30" t="s">
        <v>26</v>
      </c>
      <c r="C35" s="30" t="s">
        <v>27</v>
      </c>
      <c r="D35" s="9" t="s">
        <v>15</v>
      </c>
      <c r="E35" s="9">
        <v>1</v>
      </c>
      <c r="F35" s="9">
        <v>1500</v>
      </c>
      <c r="G35" s="9">
        <f>E35*F35</f>
        <v>1500</v>
      </c>
      <c r="H35" s="24" t="s">
        <v>14</v>
      </c>
    </row>
    <row r="36" spans="1:8" ht="15" customHeight="1" x14ac:dyDescent="0.35">
      <c r="A36" s="82"/>
      <c r="B36" s="30"/>
      <c r="C36" s="30"/>
      <c r="D36" s="9"/>
      <c r="E36" s="9"/>
      <c r="F36" s="9"/>
      <c r="G36" s="9"/>
      <c r="H36" s="24"/>
    </row>
    <row r="37" spans="1:8" ht="15" customHeight="1" thickBot="1" x14ac:dyDescent="0.4">
      <c r="A37" s="83"/>
      <c r="B37" s="43"/>
      <c r="C37" s="44"/>
      <c r="D37" s="45"/>
      <c r="E37" s="45"/>
      <c r="F37" s="45"/>
      <c r="G37" s="45"/>
      <c r="H37" s="46"/>
    </row>
    <row r="38" spans="1:8" ht="16.5" thickTop="1" thickBot="1" x14ac:dyDescent="0.4">
      <c r="A38" s="84" t="s">
        <v>36</v>
      </c>
      <c r="B38" s="85"/>
      <c r="C38" s="85"/>
      <c r="D38" s="85"/>
      <c r="E38" s="85"/>
      <c r="F38" s="86"/>
      <c r="G38" s="66">
        <f>G33-SUM(G35:G37)</f>
        <v>3500</v>
      </c>
      <c r="H38" s="67" t="s">
        <v>14</v>
      </c>
    </row>
    <row r="39" spans="1:8" ht="15" customHeight="1" x14ac:dyDescent="0.35">
      <c r="A39" s="14"/>
      <c r="B39" s="14"/>
      <c r="C39" s="14"/>
      <c r="D39" s="14"/>
      <c r="E39" s="14"/>
      <c r="F39" s="29"/>
      <c r="G39" s="29"/>
      <c r="H39" s="29"/>
    </row>
    <row r="40" spans="1:8" ht="15" customHeight="1" x14ac:dyDescent="0.35">
      <c r="A40" s="14"/>
      <c r="B40" s="14"/>
      <c r="C40" s="14"/>
      <c r="D40" s="14"/>
      <c r="E40" s="14"/>
      <c r="F40" s="29"/>
      <c r="G40" s="29"/>
      <c r="H40" s="29"/>
    </row>
    <row r="41" spans="1:8" ht="15" customHeight="1" x14ac:dyDescent="0.35">
      <c r="A41" s="14"/>
      <c r="B41" s="14"/>
      <c r="C41" s="14"/>
      <c r="D41" s="14"/>
      <c r="E41" s="14"/>
      <c r="F41" s="29"/>
      <c r="G41" s="29"/>
      <c r="H41" s="29"/>
    </row>
    <row r="42" spans="1:8" ht="15" customHeight="1" x14ac:dyDescent="0.35">
      <c r="A42" s="14"/>
      <c r="B42" s="14"/>
      <c r="C42" s="14"/>
      <c r="D42" s="52"/>
      <c r="E42" s="52"/>
      <c r="F42" s="52"/>
      <c r="G42" s="53"/>
      <c r="H42" s="53"/>
    </row>
    <row r="43" spans="1:8" ht="15" customHeight="1" x14ac:dyDescent="0.35">
      <c r="A43" s="14"/>
      <c r="B43" s="14"/>
      <c r="C43" s="14"/>
      <c r="D43" s="52"/>
      <c r="E43" s="52"/>
      <c r="F43" s="52"/>
      <c r="G43" s="29"/>
      <c r="H43" s="29"/>
    </row>
    <row r="44" spans="1:8" ht="15" customHeight="1" x14ac:dyDescent="0.35">
      <c r="A44" s="55"/>
      <c r="B44" s="14"/>
      <c r="C44" s="14"/>
      <c r="D44" s="29"/>
      <c r="E44" s="29"/>
      <c r="F44" s="29"/>
      <c r="G44" s="29"/>
      <c r="H44" s="15"/>
    </row>
    <row r="45" spans="1:8" ht="15.5" x14ac:dyDescent="0.35">
      <c r="A45" s="58"/>
      <c r="B45" s="59"/>
      <c r="C45" s="60"/>
      <c r="D45" s="61"/>
      <c r="E45" s="61"/>
      <c r="F45" s="61"/>
      <c r="G45" s="61"/>
      <c r="H45" s="61"/>
    </row>
    <row r="46" spans="1:8" ht="15" customHeight="1" x14ac:dyDescent="0.35">
      <c r="A46" s="14"/>
      <c r="B46" s="56"/>
      <c r="C46" s="56"/>
      <c r="D46" s="56"/>
      <c r="E46" s="56"/>
      <c r="F46" s="56"/>
      <c r="G46" s="29"/>
      <c r="H46" s="29"/>
    </row>
    <row r="47" spans="1:8" s="14" customFormat="1" ht="15" customHeight="1" x14ac:dyDescent="0.35">
      <c r="A47" s="41"/>
      <c r="B47" s="41"/>
      <c r="C47" s="41"/>
      <c r="D47" s="41"/>
      <c r="E47" s="41"/>
      <c r="F47" s="42"/>
      <c r="G47" s="40"/>
      <c r="H47" s="40"/>
    </row>
    <row r="48" spans="1:8" ht="15.5" x14ac:dyDescent="0.35">
      <c r="A48" s="14"/>
      <c r="B48" s="14"/>
      <c r="C48" s="14"/>
      <c r="D48" s="14"/>
      <c r="E48" s="14"/>
      <c r="F48" s="29"/>
      <c r="G48" s="29"/>
      <c r="H48" s="29"/>
    </row>
    <row r="49" spans="1:10" ht="15" customHeight="1" x14ac:dyDescent="0.35">
      <c r="A49" s="14"/>
      <c r="B49" s="14"/>
      <c r="C49" s="14"/>
      <c r="D49" s="14"/>
      <c r="E49" s="14"/>
      <c r="F49" s="29"/>
      <c r="G49" s="29"/>
      <c r="H49" s="29"/>
    </row>
    <row r="50" spans="1:10" ht="15" customHeight="1" x14ac:dyDescent="0.35">
      <c r="A50" s="14"/>
      <c r="B50" s="14"/>
      <c r="C50" s="14"/>
      <c r="D50" s="14"/>
      <c r="E50" s="14"/>
      <c r="F50" s="29"/>
      <c r="G50" s="29"/>
      <c r="H50" s="29"/>
    </row>
    <row r="51" spans="1:10" ht="15" customHeight="1" x14ac:dyDescent="0.35">
      <c r="A51" s="14"/>
      <c r="B51" s="14"/>
      <c r="C51" s="14"/>
      <c r="D51" s="14"/>
      <c r="E51" s="14"/>
      <c r="F51" s="29"/>
      <c r="G51" s="29"/>
      <c r="H51" s="29"/>
    </row>
    <row r="52" spans="1:10" ht="15" customHeight="1" x14ac:dyDescent="0.35">
      <c r="A52" s="14"/>
      <c r="B52" s="14"/>
      <c r="C52" s="14"/>
      <c r="D52" s="14"/>
      <c r="E52" s="14"/>
      <c r="F52" s="29"/>
      <c r="G52" s="29"/>
      <c r="H52" s="29"/>
    </row>
    <row r="53" spans="1:10" ht="15.5" x14ac:dyDescent="0.35">
      <c r="A53" s="14"/>
      <c r="B53" s="14"/>
      <c r="C53" s="14"/>
      <c r="D53" s="14"/>
      <c r="E53" s="14"/>
      <c r="F53" s="29"/>
      <c r="G53" s="29"/>
      <c r="H53" s="29"/>
    </row>
    <row r="54" spans="1:10" ht="15" customHeight="1" x14ac:dyDescent="0.35">
      <c r="A54" s="14"/>
      <c r="B54" s="14"/>
      <c r="C54" s="14"/>
      <c r="D54" s="14"/>
      <c r="E54" s="14"/>
      <c r="F54" s="29"/>
      <c r="G54" s="29"/>
      <c r="H54" s="29"/>
    </row>
    <row r="55" spans="1:10" ht="15" customHeight="1" x14ac:dyDescent="0.35">
      <c r="A55" s="15"/>
      <c r="B55" s="15"/>
      <c r="C55" s="15"/>
      <c r="D55" s="15"/>
      <c r="E55" s="15"/>
      <c r="F55" s="15"/>
      <c r="G55" s="15"/>
      <c r="H55" s="15"/>
      <c r="I55" s="14"/>
    </row>
    <row r="56" spans="1:10" ht="15.5" x14ac:dyDescent="0.35">
      <c r="A56" s="49"/>
      <c r="B56" s="50"/>
      <c r="C56" s="50"/>
      <c r="D56" s="51"/>
      <c r="E56" s="51"/>
      <c r="F56" s="51"/>
      <c r="G56" s="51"/>
      <c r="H56" s="50"/>
    </row>
    <row r="57" spans="1:10" ht="15" customHeight="1" x14ac:dyDescent="0.35">
      <c r="A57" s="48"/>
      <c r="B57" s="28"/>
      <c r="C57" s="29"/>
      <c r="D57" s="29"/>
      <c r="E57" s="29"/>
      <c r="F57" s="29"/>
      <c r="G57" s="29"/>
      <c r="H57" s="29"/>
      <c r="J57" s="14"/>
    </row>
    <row r="58" spans="1:10" ht="15" customHeight="1" x14ac:dyDescent="0.35">
      <c r="A58" s="15"/>
      <c r="B58" s="28"/>
      <c r="C58" s="28"/>
      <c r="D58" s="29"/>
      <c r="E58" s="29"/>
      <c r="F58" s="29"/>
      <c r="G58" s="29"/>
      <c r="H58" s="29"/>
    </row>
    <row r="59" spans="1:10" ht="15" customHeight="1" x14ac:dyDescent="0.35">
      <c r="A59" s="62"/>
      <c r="B59" s="28"/>
      <c r="C59" s="28"/>
      <c r="D59" s="29"/>
      <c r="E59" s="29"/>
      <c r="F59" s="29"/>
      <c r="G59" s="29"/>
      <c r="H59" s="29"/>
    </row>
    <row r="60" spans="1:10" ht="15" customHeight="1" x14ac:dyDescent="0.35">
      <c r="A60" s="57"/>
      <c r="B60" s="28"/>
      <c r="C60" s="28"/>
      <c r="D60" s="29"/>
      <c r="E60" s="29"/>
      <c r="F60" s="29"/>
      <c r="G60" s="29"/>
      <c r="H60" s="29"/>
    </row>
    <row r="61" spans="1:10" ht="15" customHeight="1" x14ac:dyDescent="0.35">
      <c r="A61" s="57"/>
      <c r="B61" s="14"/>
      <c r="C61" s="14"/>
      <c r="D61" s="29"/>
      <c r="E61" s="29"/>
      <c r="F61" s="29"/>
      <c r="G61" s="29"/>
      <c r="H61" s="29"/>
    </row>
    <row r="62" spans="1:10" ht="15" customHeight="1" x14ac:dyDescent="0.35">
      <c r="A62" s="15"/>
      <c r="B62" s="56"/>
      <c r="C62" s="14"/>
      <c r="D62" s="14"/>
      <c r="E62" s="14"/>
      <c r="F62" s="14"/>
      <c r="G62" s="29"/>
      <c r="H62" s="29"/>
    </row>
    <row r="63" spans="1:10" ht="15" customHeight="1" x14ac:dyDescent="0.35">
      <c r="A63" s="54"/>
      <c r="B63" s="14"/>
      <c r="C63" s="14"/>
      <c r="D63" s="57"/>
      <c r="E63" s="29"/>
      <c r="F63" s="29"/>
      <c r="G63" s="29"/>
      <c r="H63" s="29"/>
    </row>
    <row r="64" spans="1:10" ht="15" customHeight="1" x14ac:dyDescent="0.35">
      <c r="A64" s="41"/>
      <c r="B64" s="57"/>
      <c r="C64" s="57"/>
      <c r="D64" s="57"/>
      <c r="E64" s="57"/>
      <c r="F64" s="57"/>
      <c r="G64" s="40"/>
      <c r="H64" s="40"/>
      <c r="I64" s="14"/>
    </row>
    <row r="65" spans="1:8" ht="15.5" x14ac:dyDescent="0.35">
      <c r="A65" s="63"/>
      <c r="B65" s="63"/>
      <c r="C65" s="63"/>
      <c r="D65" s="51"/>
      <c r="E65" s="50"/>
      <c r="F65" s="51"/>
      <c r="G65" s="51"/>
      <c r="H65" s="50"/>
    </row>
    <row r="66" spans="1:8" ht="15" customHeight="1" x14ac:dyDescent="0.35">
      <c r="A66" s="14"/>
      <c r="B66" s="14"/>
      <c r="C66" s="14"/>
      <c r="D66" s="29"/>
      <c r="E66" s="29"/>
      <c r="F66" s="29"/>
      <c r="G66" s="29"/>
      <c r="H66" s="29"/>
    </row>
    <row r="67" spans="1:8" ht="15" customHeight="1" x14ac:dyDescent="0.35">
      <c r="A67" s="14"/>
      <c r="B67" s="14"/>
      <c r="C67" s="14"/>
      <c r="D67" s="29"/>
      <c r="E67" s="29"/>
      <c r="F67" s="40"/>
      <c r="G67" s="29"/>
      <c r="H67" s="29"/>
    </row>
    <row r="68" spans="1:8" ht="15" customHeight="1" x14ac:dyDescent="0.35">
      <c r="A68" s="14"/>
      <c r="B68" s="14"/>
      <c r="C68" s="14"/>
      <c r="D68" s="29"/>
      <c r="E68" s="29"/>
      <c r="F68" s="40"/>
      <c r="G68" s="29"/>
      <c r="H68" s="29"/>
    </row>
    <row r="69" spans="1:8" ht="15" customHeight="1" x14ac:dyDescent="0.35">
      <c r="A69" s="54"/>
      <c r="B69" s="14"/>
      <c r="C69" s="14"/>
      <c r="D69" s="14"/>
      <c r="E69" s="14"/>
      <c r="F69" s="14"/>
      <c r="G69" s="29"/>
      <c r="H69" s="29"/>
    </row>
    <row r="70" spans="1:8" ht="15" customHeight="1" x14ac:dyDescent="0.35">
      <c r="A70" s="64"/>
      <c r="B70" s="14"/>
      <c r="C70" s="14"/>
      <c r="D70" s="14"/>
      <c r="E70" s="14"/>
      <c r="F70" s="14"/>
      <c r="G70" s="14"/>
      <c r="H70" s="14"/>
    </row>
    <row r="71" spans="1:8" ht="15" customHeight="1" x14ac:dyDescent="0.35">
      <c r="A71" s="65"/>
      <c r="B71" s="14"/>
      <c r="C71" s="14"/>
      <c r="D71" s="14"/>
      <c r="E71" s="14"/>
      <c r="F71" s="14"/>
      <c r="G71" s="14"/>
      <c r="H71" s="14"/>
    </row>
  </sheetData>
  <mergeCells count="8">
    <mergeCell ref="A1:H1"/>
    <mergeCell ref="A7:H7"/>
    <mergeCell ref="A35:A37"/>
    <mergeCell ref="A38:F38"/>
    <mergeCell ref="D24:F24"/>
    <mergeCell ref="D25:F25"/>
    <mergeCell ref="B29:F29"/>
    <mergeCell ref="D26:F26"/>
  </mergeCells>
  <conditionalFormatting sqref="G29 G46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scale="88" fitToHeight="0" orientation="portrait" r:id="rId1"/>
  <rowBreaks count="1" manualBreakCount="1">
    <brk id="46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Zimmerman</cp:lastModifiedBy>
  <cp:lastPrinted>2026-10-29T09:45:55Z</cp:lastPrinted>
  <dcterms:modified xsi:type="dcterms:W3CDTF">2026-10-29T09:45:55Z</dcterms:modified>
</cp:coreProperties>
</file>